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WAJITH\Desktop\Asignment\"/>
    </mc:Choice>
  </mc:AlternateContent>
  <xr:revisionPtr revIDLastSave="0" documentId="13_ncr:1_{383C1204-551A-4074-AB0A-419B5BE85F84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Instructions" sheetId="1" r:id="rId1"/>
    <sheet name="Dataset" sheetId="2" r:id="rId2"/>
    <sheet name="Solution- Assignment 2" sheetId="6" r:id="rId3"/>
  </sheets>
  <definedNames>
    <definedName name="ExternalData_1" localSheetId="2" hidden="1">'Solution- Assignment 2'!$A$1:$I$32</definedName>
  </definedNames>
  <calcPr calcId="191029"/>
  <extLs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2" i="6" l="1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63841-DFDF-4F2F-9186-F8832D4CFD6B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<sst xmlns="http://schemas.openxmlformats.org/spreadsheetml/2006/main" count="290" uniqueCount="121">
  <si>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</si>
  <si>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</si>
  <si>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</si>
  <si>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</si>
  <si>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</si>
  <si>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</si>
  <si>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</si>
  <si>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</si>
  <si>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</si>
  <si>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</si>
  <si>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</si>
  <si>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</si>
  <si>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</si>
  <si>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</si>
  <si>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</si>
  <si>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</si>
  <si>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</si>
  <si>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</si>
  <si>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</si>
  <si>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</si>
  <si>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</si>
  <si>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</si>
  <si>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</si>
  <si>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</si>
  <si>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</si>
  <si>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</si>
  <si>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</si>
  <si>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</si>
  <si>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</si>
  <si>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</si>
  <si>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</si>
  <si>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</si>
  <si>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</si>
  <si>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</si>
  <si>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</si>
  <si>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</si>
  <si>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</si>
  <si>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</si>
  <si>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</si>
  <si>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</si>
  <si>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</si>
  <si>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</si>
  <si>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</si>
  <si>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</si>
  <si>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</si>
  <si>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</si>
  <si>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</si>
  <si>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</si>
  <si>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</si>
  <si>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</si>
  <si>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</si>
  <si>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</si>
  <si>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</si>
  <si>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</si>
  <si>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</si>
  <si>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</si>
  <si>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</si>
  <si>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</si>
  <si>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</si>
  <si>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</si>
  <si>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</si>
  <si>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</si>
  <si>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</si>
  <si>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</si>
  <si>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</si>
  <si>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</si>
  <si>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</si>
  <si>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</si>
  <si>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</si>
  <si>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</si>
  <si>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</si>
  <si>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</si>
  <si>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</si>
  <si>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</si>
  <si>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</si>
  <si>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</si>
  <si>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</si>
  <si>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</si>
  <si>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</si>
  <si>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</si>
  <si>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</si>
  <si>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</si>
  <si>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</si>
  <si>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</si>
  <si>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</si>
  <si>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</si>
  <si>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</si>
  <si>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</si>
  <si>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</si>
  <si>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</si>
  <si>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</si>
  <si>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</si>
  <si>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</si>
  <si>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</si>
  <si>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</si>
  <si>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</si>
  <si>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</si>
  <si>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</si>
  <si>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</si>
  <si>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</si>
  <si>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</si>
  <si>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</si>
  <si>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</si>
  <si>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</si>
  <si>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</si>
  <si>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</si>
  <si>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</si>
  <si>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</si>
  <si>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</si>
  <si>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</si>
  <si>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</si>
  <si>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</si>
  <si>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</si>
  <si>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</si>
  <si>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</si>
  <si>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</si>
  <si>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</t>
  </si>
  <si>
    <t>T-Shirt</t>
  </si>
  <si>
    <t>Country Code</t>
  </si>
  <si>
    <t>Product Brand</t>
  </si>
  <si>
    <t>Manufacturing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</si>
</sst>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8"/>
      <name val="Arial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0" fontId="9" fillId="0" borderId="0" xfId="0" applyFont="1"/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4385BB-8E23-4069-97EF-C9E293E7DF01}" autoFormatId="16" applyNumberFormats="0" applyBorderFormats="0" applyFontFormats="0" applyPatternFormats="0" applyAlignmentFormats="0" applyWidthHeightFormats="0">
  <queryTableRefresh nextId="15">
    <queryTableFields count="9">
      <queryTableField id="1" name="Product ID" tableColumnId="1"/>
      <queryTableField id="13" dataBound="0" tableColumnId="10"/>
      <queryTableField id="8" dataBound="0" tableColumnId="8"/>
      <queryTableField id="2" name="Product Name" tableColumnId="2"/>
      <queryTableField id="3" name="Brand Name" tableColumnId="3"/>
      <queryTableField id="14" dataBound="0" tableColumnId="11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EB5A6B-C54E-49D6-8BE5-AC4936218F66}" name="Table4" displayName="Table4" ref="A1:F35" totalsRowShown="0" headerRowDxfId="33" dataDxfId="32">
  <autoFilter ref="A1:F35" xr:uid="{FBEB5A6B-C54E-49D6-8BE5-AC4936218F66}"/>
  <tableColumns count="6">
    <tableColumn id="1" xr3:uid="{E0E445DB-7DDC-4C58-9E0C-60E42765715B}" name="Product ID" dataDxfId="31"/>
    <tableColumn id="2" xr3:uid="{73A3AEEB-550B-4AED-A404-C097950DECE0}" name="Product Name" dataDxfId="30"/>
    <tableColumn id="3" xr3:uid="{F052D594-EC61-4338-A357-66BBEAF1B014}" name="Brand Name" dataDxfId="29"/>
    <tableColumn id="4" xr3:uid="{3F6ABCC9-B88C-4EB1-89F2-05B83636397E}" name="Price ($)" dataDxfId="28"/>
    <tableColumn id="5" xr3:uid="{BD97E605-6BF1-479B-A343-1AA9827CBBDC}" name="Quantity" dataDxfId="27"/>
    <tableColumn id="6" xr3:uid="{AEF9A8B4-CEA9-43DC-9C24-A4EAC1A1A77D}" name="Category" dataDxfId="2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9713D67-3DFF-4F84-A313-B30B07C404CA}" name="Table4_1" displayName="Table4_1" ref="A1:I32" tableType="queryTable" totalsRowShown="0">
  <autoFilter ref="A1:I32" xr:uid="{49713D67-3DFF-4F84-A313-B30B07C404CA}"/>
  <sortState xmlns:xlrd2="http://schemas.microsoft.com/office/spreadsheetml/2017/richdata2" ref="A2:I32">
    <sortCondition ref="E2:E38"/>
  </sortState>
  <tableColumns count="9">
    <tableColumn id="1" xr3:uid="{4F3BA504-2941-4616-9EE4-D5C3813092DA}" uniqueName="1" name="Product ID" queryTableFieldId="1" dataDxfId="25"/>
    <tableColumn id="10" xr3:uid="{9CC1B31C-78E9-469A-A149-E54F1BCB2CEC}" uniqueName="10" name="Manufacturing Date" queryTableFieldId="13" dataDxfId="19">
      <calculatedColumnFormula>LEFT(A2,LEN(A2)-2)&amp;"2016"</calculatedColumnFormula>
    </tableColumn>
    <tableColumn id="8" xr3:uid="{7B5845AC-FDD7-4661-AE81-A9C95AF8A0EC}" uniqueName="8" name="Country Code" queryTableFieldId="8" dataDxfId="24">
      <calculatedColumnFormula>RIGHT(Table4_1[[#This Row],[Product ID]],2)</calculatedColumnFormula>
    </tableColumn>
    <tableColumn id="2" xr3:uid="{891C53F1-6B34-4405-8341-34860D19A849}" uniqueName="2" name="Product Name" queryTableFieldId="2" dataDxfId="23"/>
    <tableColumn id="3" xr3:uid="{6F95C018-613A-4C8B-9191-12C83BA21578}" uniqueName="3" name="Brand Name" queryTableFieldId="3" dataDxfId="22"/>
    <tableColumn id="11" xr3:uid="{E9DCD88A-4361-4533-8B3C-ED95FC1CCEE4}" uniqueName="11" name="Product Brand" queryTableFieldId="14" dataDxfId="3">
      <calculatedColumnFormula>Table4_1[[#This Row],[Brand Name]]&amp;" "&amp;Table4_1[[#This Row],[Product Name]]</calculatedColumnFormula>
    </tableColumn>
    <tableColumn id="4" xr3:uid="{68268964-E1C4-4147-8F96-43A9647443DE}" uniqueName="4" name="Price ($)" queryTableFieldId="4" dataDxfId="21"/>
    <tableColumn id="5" xr3:uid="{23542EAA-8FEA-4E10-B6C9-EFEAB5E8FADA}" uniqueName="5" name="Quantity" queryTableFieldId="5"/>
    <tableColumn id="6" xr3:uid="{ACDFBE2E-813B-4B50-9D82-C856341E9E10}" uniqueName="6" name="Category" queryTableFieldId="6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1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20" workbookViewId="0">
      <selection activeCell="I26" sqref="I26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115AF-D0E6-4A97-95D5-3C640819DAB3}">
  <dimension ref="A1:I32"/>
  <sheetViews>
    <sheetView tabSelected="1" workbookViewId="0">
      <selection activeCell="K17" sqref="K17"/>
    </sheetView>
  </sheetViews>
  <sheetFormatPr defaultRowHeight="12.5" x14ac:dyDescent="0.25"/>
  <cols>
    <col min="1" max="1" width="12.1796875" bestFit="1" customWidth="1"/>
    <col min="2" max="2" width="20" bestFit="1" customWidth="1"/>
    <col min="3" max="3" width="15" customWidth="1"/>
    <col min="4" max="4" width="15.36328125" bestFit="1" customWidth="1"/>
    <col min="5" max="5" width="13.6328125" bestFit="1" customWidth="1"/>
    <col min="6" max="6" width="23.7265625" customWidth="1"/>
    <col min="7" max="7" width="10.26953125" bestFit="1" customWidth="1"/>
    <col min="8" max="8" width="10.453125" bestFit="1" customWidth="1"/>
    <col min="9" max="9" width="10.90625" bestFit="1" customWidth="1"/>
  </cols>
  <sheetData>
    <row r="1" spans="1:9" x14ac:dyDescent="0.25">
      <c r="A1" t="s">
        <v>19</v>
      </c>
      <c r="B1" t="s">
        <v>120</v>
      </c>
      <c r="C1" t="s">
        <v>118</v>
      </c>
      <c r="D1" t="s">
        <v>20</v>
      </c>
      <c r="E1" t="s">
        <v>21</v>
      </c>
      <c r="F1" t="s">
        <v>119</v>
      </c>
      <c r="G1" s="9" t="s">
        <v>22</v>
      </c>
      <c r="H1" t="s">
        <v>23</v>
      </c>
      <c r="I1" t="s">
        <v>24</v>
      </c>
    </row>
    <row r="2" spans="1:9" x14ac:dyDescent="0.25">
      <c r="A2" s="10" t="s">
        <v>47</v>
      </c>
      <c r="B2" s="10" t="str">
        <f t="shared" ref="B2:B32" si="0">LEFT(A2,LEN(A2)-2)&amp;"2016"</f>
        <v>19-JUL-2016</v>
      </c>
      <c r="C2" t="str">
        <f>RIGHT(Table4_1[[#This Row],[Product ID]],2)</f>
        <v>UK</v>
      </c>
      <c r="D2" t="s">
        <v>117</v>
      </c>
      <c r="E2" t="s">
        <v>49</v>
      </c>
      <c r="F2" t="str">
        <f>Table4_1[[#This Row],[Brand Name]]&amp;" "&amp;Table4_1[[#This Row],[Product Name]]</f>
        <v>Adidas T-Shirt</v>
      </c>
      <c r="G2" s="9">
        <v>30</v>
      </c>
      <c r="H2">
        <v>5</v>
      </c>
      <c r="I2" t="s">
        <v>32</v>
      </c>
    </row>
    <row r="3" spans="1:9" x14ac:dyDescent="0.25">
      <c r="A3" t="s">
        <v>63</v>
      </c>
      <c r="B3" t="str">
        <f t="shared" si="0"/>
        <v>25-NOV-2016</v>
      </c>
      <c r="C3" t="str">
        <f>RIGHT(Table4_1[[#This Row],[Product ID]],2)</f>
        <v>AU</v>
      </c>
      <c r="D3" t="s">
        <v>30</v>
      </c>
      <c r="E3" t="s">
        <v>49</v>
      </c>
      <c r="F3" t="str">
        <f>Table4_1[[#This Row],[Brand Name]]&amp;" "&amp;Table4_1[[#This Row],[Product Name]]</f>
        <v>Adidas Sneakers</v>
      </c>
      <c r="G3" s="9">
        <v>90</v>
      </c>
      <c r="H3">
        <v>40</v>
      </c>
      <c r="I3" t="s">
        <v>116</v>
      </c>
    </row>
    <row r="4" spans="1:9" x14ac:dyDescent="0.25">
      <c r="A4" t="s">
        <v>53</v>
      </c>
      <c r="B4" t="str">
        <f t="shared" si="0"/>
        <v>05-SEP-2016</v>
      </c>
      <c r="C4" t="str">
        <f>RIGHT(Table4_1[[#This Row],[Product ID]],2)</f>
        <v>UK</v>
      </c>
      <c r="D4" t="s">
        <v>54</v>
      </c>
      <c r="E4" t="s">
        <v>55</v>
      </c>
      <c r="F4" t="str">
        <f>Table4_1[[#This Row],[Brand Name]]&amp;" "&amp;Table4_1[[#This Row],[Product Name]]</f>
        <v>Apple Tablet</v>
      </c>
      <c r="G4" s="9">
        <v>500</v>
      </c>
      <c r="H4">
        <v>50</v>
      </c>
      <c r="I4" t="s">
        <v>28</v>
      </c>
    </row>
    <row r="5" spans="1:9" x14ac:dyDescent="0.25">
      <c r="A5" t="s">
        <v>78</v>
      </c>
      <c r="B5" t="str">
        <f t="shared" si="0"/>
        <v>27-JAN-2016</v>
      </c>
      <c r="C5" t="str">
        <f>RIGHT(Table4_1[[#This Row],[Product ID]],2)</f>
        <v>IT</v>
      </c>
      <c r="D5" t="s">
        <v>61</v>
      </c>
      <c r="E5" t="s">
        <v>79</v>
      </c>
      <c r="F5" t="str">
        <f>Table4_1[[#This Row],[Brand Name]]&amp;" "&amp;Table4_1[[#This Row],[Product Name]]</f>
        <v>Asus Laptop</v>
      </c>
      <c r="G5" s="9">
        <v>980</v>
      </c>
      <c r="H5">
        <v>10</v>
      </c>
      <c r="I5" t="s">
        <v>28</v>
      </c>
    </row>
    <row r="6" spans="1:9" x14ac:dyDescent="0.25">
      <c r="A6" t="s">
        <v>69</v>
      </c>
      <c r="B6" t="str">
        <f t="shared" si="0"/>
        <v>16-APR-2016</v>
      </c>
      <c r="C6" t="str">
        <f>RIGHT(Table4_1[[#This Row],[Product ID]],2)</f>
        <v>ES</v>
      </c>
      <c r="D6" t="s">
        <v>44</v>
      </c>
      <c r="E6" t="s">
        <v>71</v>
      </c>
      <c r="F6" t="str">
        <f>Table4_1[[#This Row],[Brand Name]]&amp;" "&amp;Table4_1[[#This Row],[Product Name]]</f>
        <v>Bose Headphones</v>
      </c>
      <c r="G6" s="9">
        <v>250</v>
      </c>
      <c r="H6">
        <v>20</v>
      </c>
      <c r="I6" t="s">
        <v>28</v>
      </c>
    </row>
    <row r="7" spans="1:9" x14ac:dyDescent="0.25">
      <c r="A7" t="s">
        <v>113</v>
      </c>
      <c r="B7" t="str">
        <f t="shared" si="0"/>
        <v>09-JUL-2016</v>
      </c>
      <c r="C7" t="str">
        <f>RIGHT(Table4_1[[#This Row],[Product ID]],2)</f>
        <v>FR</v>
      </c>
      <c r="D7" t="s">
        <v>114</v>
      </c>
      <c r="E7" t="s">
        <v>115</v>
      </c>
      <c r="F7" t="str">
        <f>Table4_1[[#This Row],[Brand Name]]&amp;" "&amp;Table4_1[[#This Row],[Product Name]]</f>
        <v>Casio Watch</v>
      </c>
      <c r="G7" s="9">
        <v>100</v>
      </c>
      <c r="H7">
        <v>20</v>
      </c>
      <c r="I7" t="s">
        <v>75</v>
      </c>
    </row>
    <row r="8" spans="1:9" x14ac:dyDescent="0.25">
      <c r="A8" t="s">
        <v>83</v>
      </c>
      <c r="B8" t="str">
        <f t="shared" si="0"/>
        <v>14-AUG-2016</v>
      </c>
      <c r="C8" t="str">
        <f>RIGHT(Table4_1[[#This Row],[Product ID]],2)</f>
        <v>US</v>
      </c>
      <c r="D8" t="s">
        <v>84</v>
      </c>
      <c r="E8" t="s">
        <v>85</v>
      </c>
      <c r="F8" t="str">
        <f>Table4_1[[#This Row],[Brand Name]]&amp;" "&amp;Table4_1[[#This Row],[Product Name]]</f>
        <v>Coleman Camping Tent</v>
      </c>
      <c r="G8" s="9">
        <v>130</v>
      </c>
      <c r="H8">
        <v>10</v>
      </c>
      <c r="I8" t="s">
        <v>59</v>
      </c>
    </row>
    <row r="9" spans="1:9" x14ac:dyDescent="0.25">
      <c r="A9" t="s">
        <v>25</v>
      </c>
      <c r="B9" t="str">
        <f t="shared" si="0"/>
        <v>28-JAN-2016</v>
      </c>
      <c r="C9" t="str">
        <f>RIGHT(Table4_1[[#This Row],[Product ID]],2)</f>
        <v>US</v>
      </c>
      <c r="D9" t="s">
        <v>61</v>
      </c>
      <c r="E9" t="s">
        <v>27</v>
      </c>
      <c r="F9" t="str">
        <f>Table4_1[[#This Row],[Brand Name]]&amp;" "&amp;Table4_1[[#This Row],[Product Name]]</f>
        <v>Dell Laptop</v>
      </c>
      <c r="G9" s="9">
        <v>1000</v>
      </c>
      <c r="H9">
        <v>30</v>
      </c>
      <c r="I9" t="s">
        <v>28</v>
      </c>
    </row>
    <row r="10" spans="1:9" x14ac:dyDescent="0.25">
      <c r="A10" t="s">
        <v>66</v>
      </c>
      <c r="B10" t="str">
        <f t="shared" si="0"/>
        <v>18-FEB-2016</v>
      </c>
      <c r="C10" t="str">
        <f>RIGHT(Table4_1[[#This Row],[Product ID]],2)</f>
        <v>CA</v>
      </c>
      <c r="D10" t="s">
        <v>67</v>
      </c>
      <c r="E10" t="s">
        <v>68</v>
      </c>
      <c r="F10" t="str">
        <f>Table4_1[[#This Row],[Brand Name]]&amp;" "&amp;Table4_1[[#This Row],[Product Name]]</f>
        <v>Fitbit Smartwatch</v>
      </c>
      <c r="G10" s="9">
        <v>150</v>
      </c>
      <c r="H10">
        <v>15</v>
      </c>
      <c r="I10" t="s">
        <v>28</v>
      </c>
    </row>
    <row r="11" spans="1:9" x14ac:dyDescent="0.25">
      <c r="A11" t="s">
        <v>108</v>
      </c>
      <c r="B11" t="str">
        <f t="shared" si="0"/>
        <v>24-MAY-2016</v>
      </c>
      <c r="C11" t="str">
        <f>RIGHT(Table4_1[[#This Row],[Product ID]],2)</f>
        <v>CA</v>
      </c>
      <c r="D11" t="s">
        <v>93</v>
      </c>
      <c r="E11" t="s">
        <v>109</v>
      </c>
      <c r="F11" t="str">
        <f>Table4_1[[#This Row],[Brand Name]]&amp;" "&amp;Table4_1[[#This Row],[Product Name]]</f>
        <v>Garmin Fitness Tracker</v>
      </c>
      <c r="G11" s="9">
        <v>130</v>
      </c>
      <c r="H11">
        <v>5</v>
      </c>
      <c r="I11" t="s">
        <v>28</v>
      </c>
    </row>
    <row r="12" spans="1:9" x14ac:dyDescent="0.25">
      <c r="A12" t="s">
        <v>95</v>
      </c>
      <c r="B12" t="str">
        <f t="shared" si="0"/>
        <v>29-SEP-2016</v>
      </c>
      <c r="C12" t="str">
        <f>RIGHT(Table4_1[[#This Row],[Product ID]],2)</f>
        <v>CA</v>
      </c>
      <c r="D12" t="s">
        <v>96</v>
      </c>
      <c r="E12" t="s">
        <v>97</v>
      </c>
      <c r="F12" t="str">
        <f>Table4_1[[#This Row],[Brand Name]]&amp;" "&amp;Table4_1[[#This Row],[Product Name]]</f>
        <v>Google Smartphone</v>
      </c>
      <c r="G12" s="9">
        <v>800</v>
      </c>
      <c r="H12">
        <v>45</v>
      </c>
      <c r="I12" t="s">
        <v>28</v>
      </c>
    </row>
    <row r="13" spans="1:9" x14ac:dyDescent="0.25">
      <c r="A13" t="s">
        <v>105</v>
      </c>
      <c r="B13" t="str">
        <f t="shared" si="0"/>
        <v>13-APR-2016</v>
      </c>
      <c r="C13" t="str">
        <f>RIGHT(Table4_1[[#This Row],[Product ID]],2)</f>
        <v>CA</v>
      </c>
      <c r="D13" t="s">
        <v>106</v>
      </c>
      <c r="E13" t="s">
        <v>107</v>
      </c>
      <c r="F13" t="str">
        <f>Table4_1[[#This Row],[Brand Name]]&amp;" "&amp;Table4_1[[#This Row],[Product Name]]</f>
        <v>Hamilton Toaster</v>
      </c>
      <c r="G13" s="9">
        <v>40</v>
      </c>
      <c r="H13">
        <v>10</v>
      </c>
      <c r="I13" t="s">
        <v>36</v>
      </c>
    </row>
    <row r="14" spans="1:9" x14ac:dyDescent="0.25">
      <c r="A14" t="s">
        <v>60</v>
      </c>
      <c r="B14" t="str">
        <f t="shared" si="0"/>
        <v>17-JUN-2016</v>
      </c>
      <c r="C14" t="str">
        <f>RIGHT(Table4_1[[#This Row],[Product ID]],2)</f>
        <v>IN</v>
      </c>
      <c r="D14" t="s">
        <v>61</v>
      </c>
      <c r="E14" t="s">
        <v>62</v>
      </c>
      <c r="F14" t="str">
        <f>Table4_1[[#This Row],[Brand Name]]&amp;" "&amp;Table4_1[[#This Row],[Product Name]]</f>
        <v>HP Laptop</v>
      </c>
      <c r="G14" s="9">
        <v>950</v>
      </c>
      <c r="H14">
        <v>25</v>
      </c>
      <c r="I14" t="s">
        <v>28</v>
      </c>
    </row>
    <row r="15" spans="1:9" x14ac:dyDescent="0.25">
      <c r="A15" t="s">
        <v>76</v>
      </c>
      <c r="B15" t="str">
        <f t="shared" si="0"/>
        <v>20-AUG-2016</v>
      </c>
      <c r="C15" t="str">
        <f>RIGHT(Table4_1[[#This Row],[Product ID]],2)</f>
        <v>CN</v>
      </c>
      <c r="D15" t="s">
        <v>67</v>
      </c>
      <c r="E15" t="s">
        <v>77</v>
      </c>
      <c r="F15" t="str">
        <f>Table4_1[[#This Row],[Brand Name]]&amp;" "&amp;Table4_1[[#This Row],[Product Name]]</f>
        <v>Huawei Smartwatch</v>
      </c>
      <c r="G15" s="9">
        <v>160</v>
      </c>
      <c r="H15">
        <v>15</v>
      </c>
      <c r="I15" t="s">
        <v>28</v>
      </c>
    </row>
    <row r="16" spans="1:9" x14ac:dyDescent="0.25">
      <c r="A16" t="s">
        <v>33</v>
      </c>
      <c r="B16" t="str">
        <f t="shared" si="0"/>
        <v>03-MAR-2016</v>
      </c>
      <c r="C16" t="str">
        <f>RIGHT(Table4_1[[#This Row],[Product ID]],2)</f>
        <v>US</v>
      </c>
      <c r="D16" t="s">
        <v>34</v>
      </c>
      <c r="E16" t="s">
        <v>35</v>
      </c>
      <c r="F16" t="str">
        <f>Table4_1[[#This Row],[Brand Name]]&amp;" "&amp;Table4_1[[#This Row],[Product Name]]</f>
        <v>Keurig Coffee Maker</v>
      </c>
      <c r="G16" s="9">
        <v>130</v>
      </c>
      <c r="H16">
        <v>40</v>
      </c>
      <c r="I16" t="s">
        <v>36</v>
      </c>
    </row>
    <row r="17" spans="1:9" x14ac:dyDescent="0.25">
      <c r="A17" t="s">
        <v>110</v>
      </c>
      <c r="B17" t="str">
        <f t="shared" si="0"/>
        <v>02-DEC-2016</v>
      </c>
      <c r="C17" t="str">
        <f>RIGHT(Table4_1[[#This Row],[Product ID]],2)</f>
        <v>CA</v>
      </c>
      <c r="D17" t="s">
        <v>111</v>
      </c>
      <c r="E17" t="s">
        <v>112</v>
      </c>
      <c r="F17" t="str">
        <f>Table4_1[[#This Row],[Brand Name]]&amp;" "&amp;Table4_1[[#This Row],[Product Name]]</f>
        <v>Levi's Jeans</v>
      </c>
      <c r="G17" s="9">
        <v>50</v>
      </c>
      <c r="H17">
        <v>50</v>
      </c>
      <c r="I17" t="s">
        <v>32</v>
      </c>
    </row>
    <row r="18" spans="1:9" x14ac:dyDescent="0.25">
      <c r="A18" t="s">
        <v>64</v>
      </c>
      <c r="B18" t="str">
        <f t="shared" si="0"/>
        <v>08-DEC-2016</v>
      </c>
      <c r="C18" t="str">
        <f>RIGHT(Table4_1[[#This Row],[Product ID]],2)</f>
        <v>DE</v>
      </c>
      <c r="D18" t="s">
        <v>34</v>
      </c>
      <c r="E18" t="s">
        <v>65</v>
      </c>
      <c r="F18" t="str">
        <f>Table4_1[[#This Row],[Brand Name]]&amp;" "&amp;Table4_1[[#This Row],[Product Name]]</f>
        <v>Nespresso Coffee Maker</v>
      </c>
      <c r="G18" s="9">
        <v>120</v>
      </c>
      <c r="H18">
        <v>35</v>
      </c>
      <c r="I18" t="s">
        <v>116</v>
      </c>
    </row>
    <row r="19" spans="1:9" x14ac:dyDescent="0.25">
      <c r="A19" t="s">
        <v>29</v>
      </c>
      <c r="B19" t="str">
        <f t="shared" si="0"/>
        <v>15-FEB-2016</v>
      </c>
      <c r="C19" t="str">
        <f>RIGHT(Table4_1[[#This Row],[Product ID]],2)</f>
        <v>US</v>
      </c>
      <c r="D19" t="s">
        <v>30</v>
      </c>
      <c r="E19" t="s">
        <v>31</v>
      </c>
      <c r="F19" t="str">
        <f>Table4_1[[#This Row],[Brand Name]]&amp;" "&amp;Table4_1[[#This Row],[Product Name]]</f>
        <v>Nike Sneakers</v>
      </c>
      <c r="G19" s="9">
        <v>80</v>
      </c>
      <c r="H19">
        <v>15</v>
      </c>
      <c r="I19" t="s">
        <v>32</v>
      </c>
    </row>
    <row r="20" spans="1:9" x14ac:dyDescent="0.25">
      <c r="A20" t="s">
        <v>86</v>
      </c>
      <c r="B20" t="str">
        <f t="shared" si="0"/>
        <v>14-MAY-2016</v>
      </c>
      <c r="C20" t="str">
        <f>RIGHT(Table4_1[[#This Row],[Product ID]],2)</f>
        <v>RU</v>
      </c>
      <c r="D20" t="s">
        <v>87</v>
      </c>
      <c r="E20" t="s">
        <v>88</v>
      </c>
      <c r="F20" t="str">
        <f>Table4_1[[#This Row],[Brand Name]]&amp;" "&amp;Table4_1[[#This Row],[Product Name]]</f>
        <v>Nikon Camera</v>
      </c>
      <c r="G20" s="9">
        <v>700</v>
      </c>
      <c r="H20">
        <v>50</v>
      </c>
      <c r="I20" t="s">
        <v>28</v>
      </c>
    </row>
    <row r="21" spans="1:9" x14ac:dyDescent="0.25">
      <c r="A21" t="s">
        <v>50</v>
      </c>
      <c r="B21" t="str">
        <f t="shared" si="0"/>
        <v>23-AUG-2016</v>
      </c>
      <c r="C21" t="str">
        <f>RIGHT(Table4_1[[#This Row],[Product ID]],2)</f>
        <v>UK</v>
      </c>
      <c r="D21" t="s">
        <v>51</v>
      </c>
      <c r="E21" t="s">
        <v>52</v>
      </c>
      <c r="F21" t="str">
        <f>Table4_1[[#This Row],[Brand Name]]&amp;" "&amp;Table4_1[[#This Row],[Product Name]]</f>
        <v>Ninja Blender</v>
      </c>
      <c r="G21" s="9">
        <v>90</v>
      </c>
      <c r="H21">
        <v>35</v>
      </c>
      <c r="I21" t="s">
        <v>36</v>
      </c>
    </row>
    <row r="22" spans="1:9" x14ac:dyDescent="0.25">
      <c r="A22" t="s">
        <v>40</v>
      </c>
      <c r="B22" t="str">
        <f t="shared" si="0"/>
        <v>22-MAY-2016</v>
      </c>
      <c r="C22" t="str">
        <f>RIGHT(Table4_1[[#This Row],[Product ID]],2)</f>
        <v>US</v>
      </c>
      <c r="D22" t="s">
        <v>41</v>
      </c>
      <c r="E22" t="s">
        <v>42</v>
      </c>
      <c r="F22" t="str">
        <f>Table4_1[[#This Row],[Brand Name]]&amp;" "&amp;Table4_1[[#This Row],[Product Name]]</f>
        <v>North Face Backpack</v>
      </c>
      <c r="G22" s="9">
        <v>70</v>
      </c>
      <c r="H22">
        <v>20</v>
      </c>
      <c r="I22" t="s">
        <v>116</v>
      </c>
    </row>
    <row r="23" spans="1:9" x14ac:dyDescent="0.25">
      <c r="A23" t="s">
        <v>80</v>
      </c>
      <c r="B23" t="str">
        <f t="shared" si="0"/>
        <v>01-MAR-2016</v>
      </c>
      <c r="C23" t="str">
        <f>RIGHT(Table4_1[[#This Row],[Product ID]],2)</f>
        <v>UK</v>
      </c>
      <c r="D23" t="s">
        <v>81</v>
      </c>
      <c r="E23" t="s">
        <v>82</v>
      </c>
      <c r="F23" t="str">
        <f>Table4_1[[#This Row],[Brand Name]]&amp;" "&amp;Table4_1[[#This Row],[Product Name]]</f>
        <v>Oakley Sunglasses</v>
      </c>
      <c r="G23" s="9">
        <v>150</v>
      </c>
      <c r="H23">
        <v>15</v>
      </c>
      <c r="I23" t="s">
        <v>32</v>
      </c>
    </row>
    <row r="24" spans="1:9" x14ac:dyDescent="0.25">
      <c r="A24" t="s">
        <v>89</v>
      </c>
      <c r="B24" t="str">
        <f t="shared" si="0"/>
        <v>09-JAN-2016</v>
      </c>
      <c r="C24" t="str">
        <f>RIGHT(Table4_1[[#This Row],[Product ID]],2)</f>
        <v>CA</v>
      </c>
      <c r="D24" t="s">
        <v>90</v>
      </c>
      <c r="E24" t="s">
        <v>91</v>
      </c>
      <c r="F24" t="str">
        <f>Table4_1[[#This Row],[Brand Name]]&amp;" "&amp;Table4_1[[#This Row],[Product Name]]</f>
        <v>Panasonic Microwave</v>
      </c>
      <c r="G24" s="9">
        <v>80</v>
      </c>
      <c r="H24">
        <v>20</v>
      </c>
      <c r="I24" t="s">
        <v>36</v>
      </c>
    </row>
    <row r="25" spans="1:9" x14ac:dyDescent="0.25">
      <c r="A25" t="s">
        <v>98</v>
      </c>
      <c r="B25" t="str">
        <f t="shared" si="0"/>
        <v>03-JUN-2016</v>
      </c>
      <c r="C25" t="str">
        <f>RIGHT(Table4_1[[#This Row],[Product ID]],2)</f>
        <v>CA</v>
      </c>
      <c r="D25" t="s">
        <v>81</v>
      </c>
      <c r="E25" t="s">
        <v>99</v>
      </c>
      <c r="F25" t="str">
        <f>Table4_1[[#This Row],[Brand Name]]&amp;" "&amp;Table4_1[[#This Row],[Product Name]]</f>
        <v>Ray-Ban Sunglasses</v>
      </c>
      <c r="G25" s="9">
        <v>130</v>
      </c>
      <c r="H25">
        <v>25</v>
      </c>
      <c r="I25" t="s">
        <v>32</v>
      </c>
    </row>
    <row r="26" spans="1:9" x14ac:dyDescent="0.25">
      <c r="A26" t="s">
        <v>72</v>
      </c>
      <c r="B26" t="str">
        <f t="shared" si="0"/>
        <v>21-AUG-2016</v>
      </c>
      <c r="C26" t="str">
        <f>RIGHT(Table4_1[[#This Row],[Product ID]],2)</f>
        <v>CA</v>
      </c>
      <c r="D26" t="s">
        <v>73</v>
      </c>
      <c r="E26" t="s">
        <v>74</v>
      </c>
      <c r="F26" t="str">
        <f>Table4_1[[#This Row],[Brand Name]]&amp;" "&amp;Table4_1[[#This Row],[Product Name]]</f>
        <v>Samsonite Laptop Bag</v>
      </c>
      <c r="G26" s="9">
        <v>50</v>
      </c>
      <c r="H26">
        <v>35</v>
      </c>
      <c r="I26" t="s">
        <v>75</v>
      </c>
    </row>
    <row r="27" spans="1:9" x14ac:dyDescent="0.25">
      <c r="A27" t="s">
        <v>37</v>
      </c>
      <c r="B27" t="str">
        <f t="shared" si="0"/>
        <v>11-APR-2016</v>
      </c>
      <c r="C27" t="str">
        <f>RIGHT(Table4_1[[#This Row],[Product ID]],2)</f>
        <v>US</v>
      </c>
      <c r="D27" t="s">
        <v>96</v>
      </c>
      <c r="E27" t="s">
        <v>39</v>
      </c>
      <c r="F27" t="str">
        <f>Table4_1[[#This Row],[Brand Name]]&amp;" "&amp;Table4_1[[#This Row],[Product Name]]</f>
        <v>Samsung Smartphone</v>
      </c>
      <c r="G27" s="9">
        <v>900</v>
      </c>
      <c r="H27">
        <v>25</v>
      </c>
      <c r="I27" t="s">
        <v>28</v>
      </c>
    </row>
    <row r="28" spans="1:9" x14ac:dyDescent="0.25">
      <c r="A28" t="s">
        <v>43</v>
      </c>
      <c r="B28" t="str">
        <f t="shared" si="0"/>
        <v>07-JUN-2016</v>
      </c>
      <c r="C28" t="str">
        <f>RIGHT(Table4_1[[#This Row],[Product ID]],2)</f>
        <v>UK</v>
      </c>
      <c r="D28" t="s">
        <v>44</v>
      </c>
      <c r="E28" t="s">
        <v>45</v>
      </c>
      <c r="F28" t="str">
        <f>Table4_1[[#This Row],[Brand Name]]&amp;" "&amp;Table4_1[[#This Row],[Product Name]]</f>
        <v>Sony Headphones</v>
      </c>
      <c r="G28" s="9">
        <v>130</v>
      </c>
      <c r="H28">
        <v>45</v>
      </c>
      <c r="I28" t="s">
        <v>28</v>
      </c>
    </row>
    <row r="29" spans="1:9" x14ac:dyDescent="0.25">
      <c r="A29" t="s">
        <v>56</v>
      </c>
      <c r="B29" t="str">
        <f t="shared" si="0"/>
        <v>14-OCT-2016</v>
      </c>
      <c r="C29" t="str">
        <f>RIGHT(Table4_1[[#This Row],[Product ID]],2)</f>
        <v>UK</v>
      </c>
      <c r="D29" t="s">
        <v>57</v>
      </c>
      <c r="E29" t="s">
        <v>58</v>
      </c>
      <c r="F29" t="str">
        <f>Table4_1[[#This Row],[Brand Name]]&amp;" "&amp;Table4_1[[#This Row],[Product Name]]</f>
        <v>Timberland Hiking Boots</v>
      </c>
      <c r="G29" s="9">
        <v>130</v>
      </c>
      <c r="H29">
        <v>10</v>
      </c>
      <c r="I29" t="s">
        <v>59</v>
      </c>
    </row>
    <row r="30" spans="1:9" x14ac:dyDescent="0.25">
      <c r="A30" t="s">
        <v>100</v>
      </c>
      <c r="B30" t="str">
        <f t="shared" si="0"/>
        <v>11-JUL-2016</v>
      </c>
      <c r="C30" t="str">
        <f>RIGHT(Table4_1[[#This Row],[Product ID]],2)</f>
        <v>CA</v>
      </c>
      <c r="D30" t="s">
        <v>51</v>
      </c>
      <c r="E30" t="s">
        <v>101</v>
      </c>
      <c r="F30" t="str">
        <f>Table4_1[[#This Row],[Brand Name]]&amp;" "&amp;Table4_1[[#This Row],[Product Name]]</f>
        <v>Vitamix Blender</v>
      </c>
      <c r="G30" s="9">
        <v>400</v>
      </c>
      <c r="H30">
        <v>40</v>
      </c>
      <c r="I30" t="s">
        <v>36</v>
      </c>
    </row>
    <row r="31" spans="1:9" x14ac:dyDescent="0.25">
      <c r="A31" t="s">
        <v>92</v>
      </c>
      <c r="B31" t="str">
        <f t="shared" si="0"/>
        <v>19-JUL-2016</v>
      </c>
      <c r="C31" t="str">
        <f>RIGHT(Table4_1[[#This Row],[Product ID]],2)</f>
        <v>BR</v>
      </c>
      <c r="D31" t="s">
        <v>93</v>
      </c>
      <c r="E31" t="s">
        <v>94</v>
      </c>
      <c r="F31" t="str">
        <f>Table4_1[[#This Row],[Brand Name]]&amp;" "&amp;Table4_1[[#This Row],[Product Name]]</f>
        <v>Xiaomi Fitness Tracker</v>
      </c>
      <c r="G31" s="9">
        <v>150</v>
      </c>
      <c r="H31">
        <v>30</v>
      </c>
      <c r="I31" t="s">
        <v>116</v>
      </c>
    </row>
    <row r="32" spans="1:9" x14ac:dyDescent="0.25">
      <c r="A32" t="s">
        <v>102</v>
      </c>
      <c r="B32" t="str">
        <f t="shared" si="0"/>
        <v>07-MAR-2016</v>
      </c>
      <c r="C32" t="str">
        <f>RIGHT(Table4_1[[#This Row],[Product ID]],2)</f>
        <v>CA</v>
      </c>
      <c r="D32" t="s">
        <v>103</v>
      </c>
      <c r="E32" t="s">
        <v>104</v>
      </c>
      <c r="F32" t="str">
        <f>Table4_1[[#This Row],[Brand Name]]&amp;" "&amp;Table4_1[[#This Row],[Product Name]]</f>
        <v>Zara Dress</v>
      </c>
      <c r="G32" s="9">
        <v>60</v>
      </c>
      <c r="H32">
        <v>30</v>
      </c>
      <c r="I32" t="s">
        <v>32</v>
      </c>
    </row>
  </sheetData>
  <phoneticPr fontId="8" type="noConversion"/>
  <conditionalFormatting sqref="G1:G32">
    <cfRule type="dataBar" priority="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{1D5DCCD5-2FCC-443F-A201-A3E713FD52D0}</x14:id>
        </ext>
      </extLst>
    </cfRule>
  </conditionalFormatting>
  <conditionalFormatting sqref="I1:I32 H36:H1048576">
    <cfRule type="cellIs" dxfId="2" priority="3" operator="equal">
      <formula>"Electronics"</formula>
    </cfRule>
  </conditionalFormatting>
  <conditionalFormatting sqref="I2:I32">
    <cfRule type="expression" dxfId="1" priority="4">
      <formula>"Electronics"</formula>
    </cfRule>
  </conditionalFormatting>
  <conditionalFormatting sqref="A2:A32">
    <cfRule type="duplicateValues" dxfId="0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5DCCD5-2FCC-443F-A201-A3E713FD52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G1:G32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29B170-96FF-408E-93BD-96B6C8E396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Solution- 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sandy saras</cp:lastModifiedBy>
  <dcterms:modified xsi:type="dcterms:W3CDTF">2026-10-01T09:34:39Z</dcterms:modified>
</cp:coreProperties>
</file>